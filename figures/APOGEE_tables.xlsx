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01gc-my.sharepoint.com/personal/herve_vanderheyden_agr_gc_ca/Documents/Documents/Projets/Git/Nanopore_aerobiome_mining/figures/"/>
    </mc:Choice>
  </mc:AlternateContent>
  <xr:revisionPtr revIDLastSave="54" documentId="8_{1FD88259-38DA-4BCB-87A5-3E65E87D97B4}" xr6:coauthVersionLast="47" xr6:coauthVersionMax="47" xr10:uidLastSave="{46254CCC-B73F-4315-BC00-6755C1411836}"/>
  <bookViews>
    <workbookView xWindow="-120" yWindow="-120" windowWidth="29040" windowHeight="15720" activeTab="2" xr2:uid="{782AB3F7-35A0-4D4F-8A15-6B7895E48BDD}"/>
  </bookViews>
  <sheets>
    <sheet name="tab_1_sum_mock" sheetId="3" r:id="rId1"/>
    <sheet name="Tab2_lmm" sheetId="1" r:id="rId2"/>
    <sheet name="Tab3_Permanov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E31" i="3" s="1"/>
  <c r="E15" i="3"/>
  <c r="E16" i="3" s="1"/>
  <c r="F15" i="3"/>
  <c r="F16" i="3" s="1"/>
  <c r="H15" i="3"/>
  <c r="H16" i="3"/>
  <c r="I45" i="3"/>
  <c r="I46" i="3" s="1"/>
  <c r="H45" i="3"/>
  <c r="H46" i="3" s="1"/>
  <c r="G45" i="3"/>
  <c r="G46" i="3" s="1"/>
  <c r="F45" i="3"/>
  <c r="F46" i="3" s="1"/>
  <c r="E45" i="3"/>
  <c r="E46" i="3" s="1"/>
  <c r="I30" i="3"/>
  <c r="I31" i="3" s="1"/>
  <c r="H30" i="3"/>
  <c r="H31" i="3" s="1"/>
  <c r="G30" i="3"/>
  <c r="G31" i="3" s="1"/>
  <c r="F30" i="3"/>
  <c r="F31" i="3" s="1"/>
  <c r="I15" i="3"/>
  <c r="I16" i="3" s="1"/>
  <c r="G15" i="3"/>
  <c r="G16" i="3" s="1"/>
</calcChain>
</file>

<file path=xl/sharedStrings.xml><?xml version="1.0" encoding="utf-8"?>
<sst xmlns="http://schemas.openxmlformats.org/spreadsheetml/2006/main" count="111" uniqueCount="63">
  <si>
    <t>Model</t>
  </si>
  <si>
    <t>AICc</t>
  </si>
  <si>
    <t>LogLikelihood</t>
  </si>
  <si>
    <t>RMSE</t>
  </si>
  <si>
    <t>Null</t>
  </si>
  <si>
    <t>Tempo</t>
  </si>
  <si>
    <t>growth</t>
  </si>
  <si>
    <t>growth_tempo</t>
  </si>
  <si>
    <t>Shannon</t>
  </si>
  <si>
    <t>Observed</t>
  </si>
  <si>
    <t>Variance explained (%)</t>
  </si>
  <si>
    <t>Year</t>
  </si>
  <si>
    <t>Diversity metric</t>
  </si>
  <si>
    <t>R2 marginal</t>
  </si>
  <si>
    <t>R2 conditional</t>
  </si>
  <si>
    <t>Weather (Cum_rain_5_Mean_temp_5_Solar_radiation)</t>
  </si>
  <si>
    <t>Weather (Mean_temp_5_Relative_humidity_Wind_speed)</t>
  </si>
  <si>
    <t>Weather (Cum_rain_5_Mean_temp_5_Wind_speed)</t>
  </si>
  <si>
    <t>Variables</t>
  </si>
  <si>
    <t>Df</t>
  </si>
  <si>
    <t>Sum of squares</t>
  </si>
  <si>
    <t>R2</t>
  </si>
  <si>
    <t>F</t>
  </si>
  <si>
    <t>Pr(&gt;F)</t>
  </si>
  <si>
    <t>BBCH_grouped</t>
  </si>
  <si>
    <t>DOY</t>
  </si>
  <si>
    <t>Site</t>
  </si>
  <si>
    <t>Mean_temp_5</t>
  </si>
  <si>
    <t>Wind_direction</t>
  </si>
  <si>
    <t>Relative_humidity</t>
  </si>
  <si>
    <t>Cum_rain_5</t>
  </si>
  <si>
    <t>Wind_speed</t>
  </si>
  <si>
    <t>Solar_radiation</t>
  </si>
  <si>
    <t>BBCH_grouped:DOY</t>
  </si>
  <si>
    <t>BBCH_grouped:Site</t>
  </si>
  <si>
    <t>DOY:Site</t>
  </si>
  <si>
    <t>Residual</t>
  </si>
  <si>
    <t>Community</t>
  </si>
  <si>
    <t>Species</t>
  </si>
  <si>
    <t>Theoretical</t>
  </si>
  <si>
    <t>APOGEE</t>
  </si>
  <si>
    <t>Emu</t>
  </si>
  <si>
    <t>Qiime2</t>
  </si>
  <si>
    <t>Bracken</t>
  </si>
  <si>
    <t>Kraken</t>
  </si>
  <si>
    <t>Mock</t>
  </si>
  <si>
    <t>Alternaria sect. alternata</t>
  </si>
  <si>
    <t>Alternaria sect. brassicicola</t>
  </si>
  <si>
    <t>Botrytis cinerea cluster</t>
  </si>
  <si>
    <t>Botrytis porri</t>
  </si>
  <si>
    <t>Botrytis squamosa</t>
  </si>
  <si>
    <t>Epicoccum nigrum</t>
  </si>
  <si>
    <t>Fusarium oxysporum</t>
  </si>
  <si>
    <t>Hyaloperonospora brassicae</t>
  </si>
  <si>
    <t>Peronospora destructor</t>
  </si>
  <si>
    <t>Peronospora variabilis</t>
  </si>
  <si>
    <t>Sclerotinia sclerotiorum cluster</t>
  </si>
  <si>
    <t>Stemphylium vesicarium cluster</t>
  </si>
  <si>
    <t>Missclassified/unclassified</t>
  </si>
  <si>
    <t>Similarity (1 - Bray)</t>
  </si>
  <si>
    <t>Mock2</t>
  </si>
  <si>
    <t>Mock3</t>
  </si>
  <si>
    <t>&lt;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</si>
</sst>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vertical="top"/>
    </xf>
    <xf numFmtId="2" fontId="1" fillId="0" borderId="2" xfId="0" applyNumberFormat="1" applyFont="1" applyBorder="1" applyAlignment="1">
      <alignment horizontal="center" vertical="top"/>
    </xf>
    <xf numFmtId="0" fontId="4" fillId="0" borderId="3" xfId="0" applyFont="1" applyBorder="1" applyAlignment="1">
      <alignment horizontal="left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2" fontId="0" fillId="0" borderId="3" xfId="0" applyNumberFormat="1" applyBorder="1"/>
    <xf numFmtId="0" fontId="4" fillId="0" borderId="0" xfId="0" applyFont="1" applyAlignment="1">
      <alignment horizontal="left"/>
    </xf>
    <xf numFmtId="2" fontId="0" fillId="0" borderId="0" xfId="0" applyNumberFormat="1"/>
    <xf numFmtId="0" fontId="4" fillId="0" borderId="1" xfId="0" applyFont="1" applyBorder="1" applyAlignment="1">
      <alignment horizontal="left"/>
    </xf>
    <xf numFmtId="2" fontId="0" fillId="0" borderId="1" xfId="0" applyNumberFormat="1" applyBorder="1"/>
    <xf numFmtId="2" fontId="0" fillId="0" borderId="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65" fontId="6" fillId="0" borderId="0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4ED1-97A7-4A53-9D12-6E70FFAF4C1F}">
  <dimension ref="B2:I47"/>
  <sheetViews>
    <sheetView topLeftCell="B1" workbookViewId="0">
      <selection activeCell="O16" sqref="O16"/>
    </sheetView>
  </sheetViews>
  <sheetFormatPr baseColWidth="10" defaultColWidth="11.28515625" defaultRowHeight="15" x14ac:dyDescent="0.25"/>
  <cols>
    <col min="2" max="2" width="11.5703125" bestFit="1" customWidth="1"/>
    <col min="3" max="3" width="29.85546875" bestFit="1" customWidth="1"/>
    <col min="4" max="4" width="11.140625" bestFit="1" customWidth="1"/>
    <col min="5" max="5" width="8.42578125" bestFit="1" customWidth="1"/>
    <col min="6" max="6" width="5.5703125" bestFit="1" customWidth="1"/>
    <col min="7" max="7" width="7.42578125" bestFit="1" customWidth="1"/>
    <col min="8" max="8" width="8.140625" bestFit="1" customWidth="1"/>
    <col min="9" max="9" width="7.140625" bestFit="1" customWidth="1"/>
  </cols>
  <sheetData>
    <row r="2" spans="2:9" x14ac:dyDescent="0.25">
      <c r="B2" s="10" t="s">
        <v>37</v>
      </c>
      <c r="C2" s="11" t="s">
        <v>38</v>
      </c>
      <c r="D2" s="12" t="s">
        <v>39</v>
      </c>
      <c r="E2" s="12" t="s">
        <v>40</v>
      </c>
      <c r="F2" s="12" t="s">
        <v>41</v>
      </c>
      <c r="G2" s="12" t="s">
        <v>42</v>
      </c>
      <c r="H2" s="12" t="s">
        <v>43</v>
      </c>
      <c r="I2" s="12" t="s">
        <v>44</v>
      </c>
    </row>
    <row r="3" spans="2:9" x14ac:dyDescent="0.25">
      <c r="B3" s="26" t="s">
        <v>45</v>
      </c>
      <c r="C3" s="13" t="s">
        <v>46</v>
      </c>
      <c r="D3" s="21">
        <v>6.88</v>
      </c>
      <c r="E3" s="21">
        <v>14.905773857257399</v>
      </c>
      <c r="F3" s="21">
        <v>12.943297936285299</v>
      </c>
      <c r="G3" s="21">
        <v>15.7810467327129</v>
      </c>
      <c r="H3" s="21">
        <v>18.587174348697399</v>
      </c>
      <c r="I3" s="21">
        <v>14.013317191283299</v>
      </c>
    </row>
    <row r="4" spans="2:9" x14ac:dyDescent="0.25">
      <c r="B4" s="27"/>
      <c r="C4" s="22" t="s">
        <v>47</v>
      </c>
      <c r="D4" s="23">
        <v>4.93</v>
      </c>
      <c r="E4" s="23">
        <v>3.4582999198075401</v>
      </c>
      <c r="F4" s="23">
        <v>3.1556802244039299</v>
      </c>
      <c r="G4" s="23">
        <v>1.78124687281097</v>
      </c>
      <c r="H4" s="23">
        <v>4.7194388777555103</v>
      </c>
      <c r="I4" s="23">
        <v>2.8853914447134801</v>
      </c>
    </row>
    <row r="5" spans="2:9" x14ac:dyDescent="0.25">
      <c r="B5" s="27"/>
      <c r="C5" s="22" t="s">
        <v>48</v>
      </c>
      <c r="D5" s="23">
        <v>21.78</v>
      </c>
      <c r="E5" s="23">
        <v>11.938652766639899</v>
      </c>
      <c r="F5" s="23">
        <v>21.779202564616298</v>
      </c>
      <c r="G5" s="23">
        <v>4.9034324026818803</v>
      </c>
      <c r="H5" s="23">
        <v>0</v>
      </c>
      <c r="I5" s="23">
        <v>0</v>
      </c>
    </row>
    <row r="6" spans="2:9" x14ac:dyDescent="0.25">
      <c r="B6" s="27"/>
      <c r="C6" s="22" t="s">
        <v>49</v>
      </c>
      <c r="D6" s="23">
        <v>7.56</v>
      </c>
      <c r="E6" s="23">
        <v>4.8817161186848397</v>
      </c>
      <c r="F6" s="23">
        <v>5.69024243638549</v>
      </c>
      <c r="G6" s="23">
        <v>5.5538877214049798</v>
      </c>
      <c r="H6" s="23">
        <v>7.2945891783567101</v>
      </c>
      <c r="I6" s="23">
        <v>4.9233252623083104</v>
      </c>
    </row>
    <row r="7" spans="2:9" x14ac:dyDescent="0.25">
      <c r="B7" s="27"/>
      <c r="C7" s="22" t="s">
        <v>50</v>
      </c>
      <c r="D7" s="23">
        <v>8.5299999999999994</v>
      </c>
      <c r="E7" s="23">
        <v>1.5838011226944699</v>
      </c>
      <c r="F7" s="23">
        <v>0.42075736325385699</v>
      </c>
      <c r="G7" s="23">
        <v>2.6418492945061498</v>
      </c>
      <c r="H7" s="23">
        <v>0</v>
      </c>
      <c r="I7" s="23">
        <v>3.0266343825665901E-2</v>
      </c>
    </row>
    <row r="8" spans="2:9" x14ac:dyDescent="0.25">
      <c r="B8" s="27"/>
      <c r="C8" s="22" t="s">
        <v>51</v>
      </c>
      <c r="D8" s="23">
        <v>8.7100000000000009</v>
      </c>
      <c r="E8" s="23">
        <v>11.8083400160385</v>
      </c>
      <c r="F8" s="23">
        <v>11.570827489481101</v>
      </c>
      <c r="G8" s="23">
        <v>10.7175022515761</v>
      </c>
      <c r="H8" s="23">
        <v>16.262525050100201</v>
      </c>
      <c r="I8" s="23">
        <v>11.3095238095238</v>
      </c>
    </row>
    <row r="9" spans="2:9" x14ac:dyDescent="0.25">
      <c r="B9" s="27"/>
      <c r="C9" s="22" t="s">
        <v>52</v>
      </c>
      <c r="D9" s="23">
        <v>4.1500000000000004</v>
      </c>
      <c r="E9" s="23">
        <v>1.0224538893344</v>
      </c>
      <c r="F9" s="23">
        <v>1.0018032458425199</v>
      </c>
      <c r="G9" s="23">
        <v>1.0107074952466699</v>
      </c>
      <c r="H9" s="23">
        <v>1.63326653306613</v>
      </c>
      <c r="I9" s="23">
        <v>1.1400322841000801</v>
      </c>
    </row>
    <row r="10" spans="2:9" x14ac:dyDescent="0.25">
      <c r="B10" s="27"/>
      <c r="C10" s="22" t="s">
        <v>53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</row>
    <row r="11" spans="2:9" x14ac:dyDescent="0.25">
      <c r="B11" s="27"/>
      <c r="C11" s="22" t="s">
        <v>54</v>
      </c>
      <c r="D11" s="23">
        <v>10.19</v>
      </c>
      <c r="E11" s="23">
        <v>9.7534081796311103</v>
      </c>
      <c r="F11" s="23">
        <v>9.0362652774994991</v>
      </c>
      <c r="G11" s="23">
        <v>0</v>
      </c>
      <c r="H11" s="23">
        <v>12.9058116232465</v>
      </c>
      <c r="I11" s="23">
        <v>9.1505246166263099</v>
      </c>
    </row>
    <row r="12" spans="2:9" x14ac:dyDescent="0.25">
      <c r="B12" s="27"/>
      <c r="C12" s="22" t="s">
        <v>55</v>
      </c>
      <c r="D12" s="23">
        <v>10.31</v>
      </c>
      <c r="E12" s="23">
        <v>11.487570168404201</v>
      </c>
      <c r="F12" s="23">
        <v>10.5690242436385</v>
      </c>
      <c r="G12" s="23">
        <v>0.92064445111578097</v>
      </c>
      <c r="H12" s="23">
        <v>15.611222444889799</v>
      </c>
      <c r="I12" s="23">
        <v>10.714285714285699</v>
      </c>
    </row>
    <row r="13" spans="2:9" x14ac:dyDescent="0.25">
      <c r="B13" s="27"/>
      <c r="C13" s="22" t="s">
        <v>56</v>
      </c>
      <c r="D13" s="23">
        <v>8.73</v>
      </c>
      <c r="E13" s="23">
        <v>13.6226944667201</v>
      </c>
      <c r="F13" s="23">
        <v>12.3321979563214</v>
      </c>
      <c r="G13" s="23">
        <v>38.556989892925003</v>
      </c>
      <c r="H13" s="23">
        <v>0.831663326653307</v>
      </c>
      <c r="I13" s="23">
        <v>0.45399515738498802</v>
      </c>
    </row>
    <row r="14" spans="2:9" x14ac:dyDescent="0.25">
      <c r="B14" s="27"/>
      <c r="C14" s="24" t="s">
        <v>57</v>
      </c>
      <c r="D14" s="25">
        <v>8.23</v>
      </c>
      <c r="E14" s="25">
        <v>11.1066559743384</v>
      </c>
      <c r="F14" s="25">
        <v>9.7475455820476906</v>
      </c>
      <c r="G14" s="25">
        <v>6.2243570499349499</v>
      </c>
      <c r="H14" s="25">
        <v>12.615230460921801</v>
      </c>
      <c r="I14" s="25">
        <v>9.1000807102502002</v>
      </c>
    </row>
    <row r="15" spans="2:9" x14ac:dyDescent="0.25">
      <c r="B15" s="27"/>
      <c r="C15" s="20" t="s">
        <v>58</v>
      </c>
      <c r="D15" s="14"/>
      <c r="E15" s="15">
        <f>100-(SUM(E3:E14))</f>
        <v>4.4306335204491489</v>
      </c>
      <c r="F15" s="15">
        <f t="shared" ref="F15:I15" si="0">100-(SUM(F3:F14))</f>
        <v>1.7531556802244239</v>
      </c>
      <c r="G15" s="15">
        <f t="shared" si="0"/>
        <v>11.908335835084614</v>
      </c>
      <c r="H15" s="15">
        <f>100-(SUM(H3:H14))</f>
        <v>9.5390781563126268</v>
      </c>
      <c r="I15" s="15">
        <f t="shared" si="0"/>
        <v>36.279257465698166</v>
      </c>
    </row>
    <row r="16" spans="2:9" x14ac:dyDescent="0.25">
      <c r="B16" s="27"/>
      <c r="C16" s="16" t="s">
        <v>3</v>
      </c>
      <c r="D16" s="14"/>
      <c r="E16" s="14">
        <f>SQRT((((E3-$D$3)^2)+((E15-$D$15)^2)+((E4-$D$4)^2)+((E7-$D$7)^2)+((E9-$D$9)^2)+((E12-$D$12)^2)+((E13-$D$13)^2)+((E6-$D$6)^2)+((E8-$D$8)^2)+((E5-$D$5)^2)+((E14-$D$14)^2)+((E10-$D$10)^2)+((E11-$D$11)^2))/13)</f>
        <v>4.7365729860131509</v>
      </c>
      <c r="F16" s="14">
        <f t="shared" ref="F16:I16" si="1">SQRT((((F3-$D$3)^2)+((F15-$D$15)^2)+((F4-$D$4)^2)+((F7-$D$7)^2)+((F9-$D$9)^2)+((F12-$D$12)^2)+((F13-$D$13)^2)+((F6-$D$6)^2)+((F8-$D$8)^2)+((F5-$D$5)^2)+((F14-$D$14)^2)+((F10-$D$10)^2)+((F11-$D$11)^2))/13)</f>
        <v>3.3628468514252248</v>
      </c>
      <c r="G16" s="14">
        <f t="shared" si="1"/>
        <v>11.279724255653489</v>
      </c>
      <c r="H16" s="14">
        <f>SQRT((((H3-$D$3)^2)+((H15-$D$15)^2)+((H4-$D$4)^2)+((H7-$D$7)^2)+((H9-$D$9)^2)+((H12-$D$12)^2)+((H13-$D$13)^2)+((H6-$D$6)^2)+((H8-$D$8)^2)+((H5-$D$5)^2)+((H14-$D$14)^2)+((H10-$D$10)^2)+((H11-$D$11)^2))/13)</f>
        <v>8.5743946400070232</v>
      </c>
      <c r="I16" s="14">
        <f t="shared" si="1"/>
        <v>12.437925157023399</v>
      </c>
    </row>
    <row r="17" spans="2:9" x14ac:dyDescent="0.25">
      <c r="B17" s="28"/>
      <c r="C17" s="17" t="s">
        <v>59</v>
      </c>
      <c r="D17" s="18"/>
      <c r="E17" s="19">
        <v>0.85087489999999999</v>
      </c>
      <c r="F17" s="19">
        <v>0.86704079999999994</v>
      </c>
      <c r="G17" s="19">
        <v>0.67295760000000004</v>
      </c>
      <c r="H17" s="19">
        <v>0.70325740000000003</v>
      </c>
      <c r="I17" s="19">
        <v>0.68334399999999995</v>
      </c>
    </row>
    <row r="18" spans="2:9" x14ac:dyDescent="0.25">
      <c r="B18" s="26" t="s">
        <v>60</v>
      </c>
      <c r="C18" s="13" t="s">
        <v>46</v>
      </c>
      <c r="D18" s="21">
        <v>9.48</v>
      </c>
      <c r="E18" s="21">
        <v>10.2821568430565</v>
      </c>
      <c r="F18" s="21">
        <v>8.3124435977138305</v>
      </c>
      <c r="G18" s="21">
        <v>9.3274619695756602</v>
      </c>
      <c r="H18" s="21">
        <v>11.8095238095238</v>
      </c>
      <c r="I18" s="21">
        <v>8.5778093594558893</v>
      </c>
    </row>
    <row r="19" spans="2:9" x14ac:dyDescent="0.25">
      <c r="B19" s="27"/>
      <c r="C19" s="22" t="s">
        <v>47</v>
      </c>
      <c r="D19" s="23">
        <v>9.75</v>
      </c>
      <c r="E19" s="23">
        <v>6.0548247816045802</v>
      </c>
      <c r="F19" s="23">
        <v>5.1138072796550702</v>
      </c>
      <c r="G19" s="23">
        <v>3.5628502802241799</v>
      </c>
      <c r="H19" s="23">
        <v>7.4686716791979997</v>
      </c>
      <c r="I19" s="23">
        <v>5.8775758806212597</v>
      </c>
    </row>
    <row r="20" spans="2:9" x14ac:dyDescent="0.25">
      <c r="B20" s="27"/>
      <c r="C20" s="22" t="s">
        <v>48</v>
      </c>
      <c r="D20" s="23">
        <v>16.71</v>
      </c>
      <c r="E20" s="23">
        <v>13.0434782608696</v>
      </c>
      <c r="F20" s="23">
        <v>15.8528025669307</v>
      </c>
      <c r="G20" s="23">
        <v>7.9363490792634099</v>
      </c>
      <c r="H20" s="23">
        <v>0</v>
      </c>
      <c r="I20" s="23">
        <v>0</v>
      </c>
    </row>
    <row r="21" spans="2:9" x14ac:dyDescent="0.25">
      <c r="B21" s="27"/>
      <c r="C21" s="22" t="s">
        <v>49</v>
      </c>
      <c r="D21" s="23">
        <v>9.73</v>
      </c>
      <c r="E21" s="23">
        <v>3.81564414097801</v>
      </c>
      <c r="F21" s="23">
        <v>4.33169557806076</v>
      </c>
      <c r="G21" s="23">
        <v>4.3034427542033598</v>
      </c>
      <c r="H21" s="23">
        <v>5.3834586466165399</v>
      </c>
      <c r="I21" s="23">
        <v>3.96914018881332</v>
      </c>
    </row>
    <row r="22" spans="2:9" x14ac:dyDescent="0.25">
      <c r="B22" s="27"/>
      <c r="C22" s="22" t="s">
        <v>50</v>
      </c>
      <c r="D22" s="23">
        <v>9.3699999999999992</v>
      </c>
      <c r="E22" s="23">
        <v>9.4989456772768293</v>
      </c>
      <c r="F22" s="23">
        <v>11.5612152812594</v>
      </c>
      <c r="G22" s="23">
        <v>21.106885508406702</v>
      </c>
      <c r="H22" s="23">
        <v>7.7794486215538798</v>
      </c>
      <c r="I22" s="23">
        <v>5.4816769871079103</v>
      </c>
    </row>
    <row r="23" spans="2:9" x14ac:dyDescent="0.25">
      <c r="B23" s="27"/>
      <c r="C23" s="22" t="s">
        <v>51</v>
      </c>
      <c r="D23" s="23">
        <v>9.36</v>
      </c>
      <c r="E23" s="23">
        <v>15.051712019279</v>
      </c>
      <c r="F23" s="23">
        <v>14.368795748521</v>
      </c>
      <c r="G23" s="23">
        <v>13.610888710968799</v>
      </c>
      <c r="H23" s="23">
        <v>19.649122807017498</v>
      </c>
      <c r="I23" s="23">
        <v>14.262511420160401</v>
      </c>
    </row>
    <row r="24" spans="2:9" x14ac:dyDescent="0.25">
      <c r="B24" s="27"/>
      <c r="C24" s="22" t="s">
        <v>52</v>
      </c>
      <c r="D24" s="23">
        <v>6.62</v>
      </c>
      <c r="E24" s="23">
        <v>17.903403956220501</v>
      </c>
      <c r="F24" s="23">
        <v>15.993181590293799</v>
      </c>
      <c r="G24" s="23">
        <v>16.6633306645316</v>
      </c>
      <c r="H24" s="23">
        <v>20.260651629072701</v>
      </c>
      <c r="I24" s="23">
        <v>16.160795858288498</v>
      </c>
    </row>
    <row r="25" spans="2:9" x14ac:dyDescent="0.25">
      <c r="B25" s="27"/>
      <c r="C25" s="22" t="s">
        <v>53</v>
      </c>
      <c r="D25" s="23">
        <v>3.17</v>
      </c>
      <c r="E25" s="23">
        <v>1.3254342805502599</v>
      </c>
      <c r="F25" s="23">
        <v>1.2233029178782699</v>
      </c>
      <c r="G25" s="23">
        <v>0</v>
      </c>
      <c r="H25" s="23">
        <v>1.8446115288220599</v>
      </c>
      <c r="I25" s="23">
        <v>1.3805705004568101</v>
      </c>
    </row>
    <row r="26" spans="2:9" x14ac:dyDescent="0.25">
      <c r="B26" s="27"/>
      <c r="C26" s="22" t="s">
        <v>54</v>
      </c>
      <c r="D26" s="23">
        <v>6.57</v>
      </c>
      <c r="E26" s="23">
        <v>3.4842855708404499</v>
      </c>
      <c r="F26" s="23">
        <v>3.0281760754035898</v>
      </c>
      <c r="G26" s="23">
        <v>0</v>
      </c>
      <c r="H26" s="23">
        <v>4.2606516290726804</v>
      </c>
      <c r="I26" s="23">
        <v>3.3194599533042299</v>
      </c>
    </row>
    <row r="27" spans="2:9" x14ac:dyDescent="0.25">
      <c r="B27" s="27"/>
      <c r="C27" s="22" t="s">
        <v>55</v>
      </c>
      <c r="D27" s="23">
        <v>3.39</v>
      </c>
      <c r="E27" s="23">
        <v>0.61251129631489099</v>
      </c>
      <c r="F27" s="23">
        <v>0.69186804371803901</v>
      </c>
      <c r="G27" s="23">
        <v>0</v>
      </c>
      <c r="H27" s="23">
        <v>1.1328320802005001</v>
      </c>
      <c r="I27" s="23">
        <v>0.77149527966703901</v>
      </c>
    </row>
    <row r="28" spans="2:9" x14ac:dyDescent="0.25">
      <c r="B28" s="27"/>
      <c r="C28" s="22" t="s">
        <v>56</v>
      </c>
      <c r="D28" s="23">
        <v>6.11</v>
      </c>
      <c r="E28" s="23">
        <v>7.0288181544331803</v>
      </c>
      <c r="F28" s="23">
        <v>9.1847989571844</v>
      </c>
      <c r="G28" s="23">
        <v>15.7726180944756</v>
      </c>
      <c r="H28" s="23">
        <v>0.56140350877193002</v>
      </c>
      <c r="I28" s="23">
        <v>0.36544513247386101</v>
      </c>
    </row>
    <row r="29" spans="2:9" x14ac:dyDescent="0.25">
      <c r="B29" s="27"/>
      <c r="C29" s="24" t="s">
        <v>57</v>
      </c>
      <c r="D29" s="25">
        <v>9.74</v>
      </c>
      <c r="E29" s="25">
        <v>7.8120293202128703</v>
      </c>
      <c r="F29" s="25">
        <v>7.4300611651458901</v>
      </c>
      <c r="G29" s="25">
        <v>4.7237790232185803</v>
      </c>
      <c r="H29" s="25">
        <v>8.8521303258145405</v>
      </c>
      <c r="I29" s="25">
        <v>6.1009034615775004</v>
      </c>
    </row>
    <row r="30" spans="2:9" x14ac:dyDescent="0.25">
      <c r="B30" s="27"/>
      <c r="C30" s="20" t="s">
        <v>58</v>
      </c>
      <c r="D30" s="14"/>
      <c r="E30" s="15">
        <f>100-(SUM(E18:E29))</f>
        <v>4.0867556983633335</v>
      </c>
      <c r="F30" s="15">
        <f t="shared" ref="F30:I30" si="2">100-(SUM(F18:F29))</f>
        <v>2.9078511982352495</v>
      </c>
      <c r="G30" s="15">
        <f t="shared" si="2"/>
        <v>2.9923939151321122</v>
      </c>
      <c r="H30" s="15">
        <f t="shared" si="2"/>
        <v>10.997493734335862</v>
      </c>
      <c r="I30" s="15">
        <f t="shared" si="2"/>
        <v>33.732615978073284</v>
      </c>
    </row>
    <row r="31" spans="2:9" x14ac:dyDescent="0.25">
      <c r="B31" s="27"/>
      <c r="C31" s="16" t="s">
        <v>3</v>
      </c>
      <c r="D31" s="14"/>
      <c r="E31" s="14">
        <f>SQRT((((E18-$D$18)^2)+((E30-$D$30)^2)+((E19-$D$19)^2)+((E22-$D$22)^2)+((E24-$D$24)^2)+((E27-$D$27)^2)+((E28-$D$28)^2)+((E21-$D$21)^2)+((E23-$D$23)^2)+((E20-$D$20)^2)+((E29-$D$29)^2)+((E25-$D$25)^2)+((E26-$D$26)^2))/13)</f>
        <v>4.5093880664116588</v>
      </c>
      <c r="F31" s="14">
        <f t="shared" ref="F31:I31" si="3">SQRT((((F18-$D$18)^2)+((F30-$D$30)^2)+((F19-$D$19)^2)+((F22-$D$22)^2)+((F24-$D$24)^2)+((F27-$D$27)^2)+((F28-$D$28)^2)+((F21-$D$21)^2)+((F23-$D$23)^2)+((F20-$D$20)^2)+((F29-$D$29)^2)+((F25-$D$25)^2)+((F26-$D$26)^2))/13)</f>
        <v>4.0888197307985683</v>
      </c>
      <c r="G31" s="14">
        <f t="shared" si="3"/>
        <v>6.7573923811403453</v>
      </c>
      <c r="H31" s="14">
        <f t="shared" si="3"/>
        <v>7.6857290132564913</v>
      </c>
      <c r="I31" s="14">
        <f t="shared" si="3"/>
        <v>11.310847864665339</v>
      </c>
    </row>
    <row r="32" spans="2:9" x14ac:dyDescent="0.25">
      <c r="B32" s="28"/>
      <c r="C32" s="17" t="s">
        <v>59</v>
      </c>
      <c r="D32" s="18"/>
      <c r="E32" s="19">
        <v>0.87327710000000003</v>
      </c>
      <c r="F32" s="19">
        <v>0.86194079999999995</v>
      </c>
      <c r="G32" s="19">
        <v>0.72796059999999996</v>
      </c>
      <c r="H32" s="19">
        <v>0.75824250000000004</v>
      </c>
      <c r="I32" s="19">
        <v>0.70066329999999999</v>
      </c>
    </row>
    <row r="33" spans="2:9" x14ac:dyDescent="0.25">
      <c r="B33" s="26" t="s">
        <v>61</v>
      </c>
      <c r="C33" s="13" t="s">
        <v>46</v>
      </c>
      <c r="D33" s="21">
        <v>7.42</v>
      </c>
      <c r="E33" s="21">
        <v>6.3836224283985503</v>
      </c>
      <c r="F33" s="21">
        <v>6.0362980046124504</v>
      </c>
      <c r="G33" s="21">
        <v>6.1867041010729</v>
      </c>
      <c r="H33" s="21">
        <v>6.7220997796032904</v>
      </c>
      <c r="I33" s="21">
        <v>5.9987881236113898</v>
      </c>
    </row>
    <row r="34" spans="2:9" x14ac:dyDescent="0.25">
      <c r="B34" s="27"/>
      <c r="C34" s="22" t="s">
        <v>47</v>
      </c>
      <c r="D34" s="23">
        <v>6.77</v>
      </c>
      <c r="E34" s="23">
        <v>4.5885437676482503</v>
      </c>
      <c r="F34" s="23">
        <v>4.8029680136368196</v>
      </c>
      <c r="G34" s="23">
        <v>3.3089341221297501</v>
      </c>
      <c r="H34" s="23">
        <v>5.7002604688439202</v>
      </c>
      <c r="I34" s="23">
        <v>4.8273076146233098</v>
      </c>
    </row>
    <row r="35" spans="2:9" x14ac:dyDescent="0.25">
      <c r="B35" s="27"/>
      <c r="C35" s="22" t="s">
        <v>48</v>
      </c>
      <c r="D35" s="23">
        <v>14.12</v>
      </c>
      <c r="E35" s="23">
        <v>5.75837031060912</v>
      </c>
      <c r="F35" s="23">
        <v>11.7617567432067</v>
      </c>
      <c r="G35" s="23">
        <v>12.9850596610849</v>
      </c>
      <c r="H35" s="23">
        <v>0</v>
      </c>
      <c r="I35" s="23">
        <v>0</v>
      </c>
    </row>
    <row r="36" spans="2:9" x14ac:dyDescent="0.25">
      <c r="B36" s="27"/>
      <c r="C36" s="22" t="s">
        <v>49</v>
      </c>
      <c r="D36" s="23">
        <v>6.95</v>
      </c>
      <c r="E36" s="23">
        <v>2.12787414279952</v>
      </c>
      <c r="F36" s="23">
        <v>3.7701794846084402</v>
      </c>
      <c r="G36" s="23">
        <v>2.46665998195127</v>
      </c>
      <c r="H36" s="23">
        <v>4.3478260869565197</v>
      </c>
      <c r="I36" s="23">
        <v>3.18117552009695</v>
      </c>
    </row>
    <row r="37" spans="2:9" x14ac:dyDescent="0.25">
      <c r="B37" s="27"/>
      <c r="C37" s="22" t="s">
        <v>50</v>
      </c>
      <c r="D37" s="23">
        <v>7.37</v>
      </c>
      <c r="E37" s="23">
        <v>5.1230334812424401</v>
      </c>
      <c r="F37" s="23">
        <v>8.9942845683344999</v>
      </c>
      <c r="G37" s="23">
        <v>6.58778702496741</v>
      </c>
      <c r="H37" s="23">
        <v>6.0508916048888004</v>
      </c>
      <c r="I37" s="23">
        <v>4.4637446980408004</v>
      </c>
    </row>
    <row r="38" spans="2:9" x14ac:dyDescent="0.25">
      <c r="B38" s="27"/>
      <c r="C38" s="22" t="s">
        <v>51</v>
      </c>
      <c r="D38" s="23">
        <v>6.85</v>
      </c>
      <c r="E38" s="23">
        <v>10.3670835014119</v>
      </c>
      <c r="F38" s="23">
        <v>10.2476687055049</v>
      </c>
      <c r="G38" s="23">
        <v>10.0170460242655</v>
      </c>
      <c r="H38" s="23">
        <v>12.682829092366299</v>
      </c>
      <c r="I38" s="23">
        <v>9.6647141991516907</v>
      </c>
    </row>
    <row r="39" spans="2:9" x14ac:dyDescent="0.25">
      <c r="B39" s="27"/>
      <c r="C39" s="22" t="s">
        <v>52</v>
      </c>
      <c r="D39" s="23">
        <v>7.12</v>
      </c>
      <c r="E39" s="23">
        <v>14.5522388059701</v>
      </c>
      <c r="F39" s="23">
        <v>15.682342324275499</v>
      </c>
      <c r="G39" s="23">
        <v>18.379624987466201</v>
      </c>
      <c r="H39" s="23">
        <v>19.845722300140299</v>
      </c>
      <c r="I39" s="23">
        <v>16.633003433649801</v>
      </c>
    </row>
    <row r="40" spans="2:9" x14ac:dyDescent="0.25">
      <c r="B40" s="27"/>
      <c r="C40" s="22" t="s">
        <v>53</v>
      </c>
      <c r="D40" s="23">
        <v>7.08</v>
      </c>
      <c r="E40" s="23">
        <v>8.1787010891488503</v>
      </c>
      <c r="F40" s="23">
        <v>5.6151609345232103</v>
      </c>
      <c r="G40" s="23">
        <v>1.98536047327785</v>
      </c>
      <c r="H40" s="23">
        <v>7.8441194149469</v>
      </c>
      <c r="I40" s="23">
        <v>6.3623510401939001</v>
      </c>
    </row>
    <row r="41" spans="2:9" x14ac:dyDescent="0.25">
      <c r="B41" s="27"/>
      <c r="C41" s="22" t="s">
        <v>54</v>
      </c>
      <c r="D41" s="23">
        <v>14.64</v>
      </c>
      <c r="E41" s="23">
        <v>13.9975796692215</v>
      </c>
      <c r="F41" s="23">
        <v>6.4072997092148798</v>
      </c>
      <c r="G41" s="23">
        <v>0</v>
      </c>
      <c r="H41" s="23">
        <v>9.6273291925465792</v>
      </c>
      <c r="I41" s="23">
        <v>7.8973944657644903</v>
      </c>
    </row>
    <row r="42" spans="2:9" x14ac:dyDescent="0.25">
      <c r="B42" s="27"/>
      <c r="C42" s="22" t="s">
        <v>55</v>
      </c>
      <c r="D42" s="23">
        <v>7.01</v>
      </c>
      <c r="E42" s="23">
        <v>7.2206534893102097</v>
      </c>
      <c r="F42" s="23">
        <v>4.6425348440790097</v>
      </c>
      <c r="G42" s="23">
        <v>1.2433570640730001</v>
      </c>
      <c r="H42" s="23">
        <v>5.69024243638549</v>
      </c>
      <c r="I42" s="23">
        <v>4.9484952534841398</v>
      </c>
    </row>
    <row r="43" spans="2:9" x14ac:dyDescent="0.25">
      <c r="B43" s="27"/>
      <c r="C43" s="22" t="s">
        <v>56</v>
      </c>
      <c r="D43" s="23">
        <v>7.06</v>
      </c>
      <c r="E43" s="23">
        <v>4.1750705929810401</v>
      </c>
      <c r="F43" s="23">
        <v>6.6680036097463198</v>
      </c>
      <c r="G43" s="23">
        <v>14.418931114007799</v>
      </c>
      <c r="H43" s="23">
        <v>0.370667200961731</v>
      </c>
      <c r="I43" s="23">
        <v>0.30296909715208997</v>
      </c>
    </row>
    <row r="44" spans="2:9" x14ac:dyDescent="0.25">
      <c r="B44" s="27"/>
      <c r="C44" s="24" t="s">
        <v>57</v>
      </c>
      <c r="D44" s="25">
        <v>7.61</v>
      </c>
      <c r="E44" s="25">
        <v>11.920129084308201</v>
      </c>
      <c r="F44" s="25">
        <v>10.909455529930799</v>
      </c>
      <c r="G44" s="25">
        <v>9.7763962699288101</v>
      </c>
      <c r="H44" s="25">
        <v>13.4341815267481</v>
      </c>
      <c r="I44" s="25">
        <v>11.2300545344375</v>
      </c>
    </row>
    <row r="45" spans="2:9" x14ac:dyDescent="0.25">
      <c r="B45" s="27"/>
      <c r="C45" s="20" t="s">
        <v>58</v>
      </c>
      <c r="D45" s="14"/>
      <c r="E45" s="15">
        <f>100-(SUM(E33:E44))</f>
        <v>5.6070996369503234</v>
      </c>
      <c r="F45" s="15">
        <f t="shared" ref="F45:I45" si="4">100-(SUM(F33:F44))</f>
        <v>4.4620475283264653</v>
      </c>
      <c r="G45" s="15">
        <f t="shared" si="4"/>
        <v>12.644139175774612</v>
      </c>
      <c r="H45" s="15">
        <f t="shared" si="4"/>
        <v>7.6838308956120613</v>
      </c>
      <c r="I45" s="15">
        <f t="shared" si="4"/>
        <v>24.490002019793948</v>
      </c>
    </row>
    <row r="46" spans="2:9" x14ac:dyDescent="0.25">
      <c r="B46" s="27"/>
      <c r="C46" s="16" t="s">
        <v>3</v>
      </c>
      <c r="D46" s="14"/>
      <c r="E46" s="14">
        <f>SQRT((((E33-$D$33)^2)+((E45-$D$45)^2)+((E34-$D$34)^2)+((E37-$D$37)^2)+((E39-$D$39)^2)+((E42-$D$42)^2)+((E43-$D$43)^2)+((E36-$D$36)^2)+((E38-$D$38)^2)+((E35-$D$35)^2)+((E44-$D$44)^2)+((E40-$D$40)^2)+((E41-$D$41)^2))/13)</f>
        <v>4.2214043122190628</v>
      </c>
      <c r="F46" s="14">
        <f t="shared" ref="F46:I46" si="5">SQRT((((F33-$D$33)^2)+((F45-$D$45)^2)+((F34-$D$34)^2)+((F37-$D$37)^2)+((F39-$D$39)^2)+((F42-$D$42)^2)+((F43-$D$43)^2)+((F36-$D$36)^2)+((F38-$D$38)^2)+((F35-$D$35)^2)+((F44-$D$44)^2)+((F40-$D$40)^2)+((F41-$D$41)^2))/13)</f>
        <v>4.0708202710005361</v>
      </c>
      <c r="G46" s="14">
        <f t="shared" si="5"/>
        <v>7.1498796852989006</v>
      </c>
      <c r="H46" s="14">
        <f t="shared" si="5"/>
        <v>6.6253887828509006</v>
      </c>
      <c r="I46" s="14">
        <f t="shared" si="5"/>
        <v>8.9226958530453579</v>
      </c>
    </row>
    <row r="47" spans="2:9" x14ac:dyDescent="0.25">
      <c r="B47" s="28"/>
      <c r="C47" s="17" t="s">
        <v>59</v>
      </c>
      <c r="D47" s="18"/>
      <c r="E47" s="19">
        <v>0.86917109999999997</v>
      </c>
      <c r="F47" s="19">
        <v>0.87412190000000001</v>
      </c>
      <c r="G47" s="19">
        <v>0.75435300000000005</v>
      </c>
      <c r="H47" s="19">
        <v>0.79094180000000003</v>
      </c>
      <c r="I47" s="19">
        <v>0.74493520000000002</v>
      </c>
    </row>
  </sheetData>
  <mergeCells count="3">
    <mergeCell ref="B3:B17"/>
    <mergeCell ref="B18:B32"/>
    <mergeCell ref="B33:B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0017-594F-4BE1-B1E4-7F4D53DE7BDA}">
  <dimension ref="B2:J22"/>
  <sheetViews>
    <sheetView zoomScale="110" zoomScaleNormal="110" workbookViewId="0">
      <selection activeCell="D32" sqref="D32"/>
    </sheetView>
  </sheetViews>
  <sheetFormatPr baseColWidth="10" defaultRowHeight="12.75" x14ac:dyDescent="0.2"/>
  <cols>
    <col min="1" max="1" width="3" style="3" customWidth="1"/>
    <col min="2" max="2" width="13.7109375" style="3" bestFit="1" customWidth="1"/>
    <col min="3" max="3" width="5" style="3" bestFit="1" customWidth="1"/>
    <col min="4" max="4" width="48.85546875" style="3" bestFit="1" customWidth="1"/>
    <col min="5" max="5" width="8.42578125" style="3" bestFit="1" customWidth="1"/>
    <col min="6" max="6" width="10.5703125" style="3" bestFit="1" customWidth="1"/>
    <col min="7" max="7" width="12.5703125" style="3" bestFit="1" customWidth="1"/>
    <col min="8" max="8" width="19.5703125" style="3" bestFit="1" customWidth="1"/>
    <col min="9" max="9" width="12.140625" style="3" bestFit="1" customWidth="1"/>
    <col min="10" max="10" width="6.42578125" style="3" bestFit="1" customWidth="1"/>
    <col min="11" max="16384" width="11.42578125" style="3"/>
  </cols>
  <sheetData>
    <row r="2" spans="2:10" x14ac:dyDescent="0.2">
      <c r="B2" s="2" t="s">
        <v>12</v>
      </c>
      <c r="C2" s="2" t="s">
        <v>11</v>
      </c>
      <c r="D2" s="2" t="s">
        <v>0</v>
      </c>
      <c r="E2" s="2" t="s">
        <v>1</v>
      </c>
      <c r="F2" s="2" t="s">
        <v>13</v>
      </c>
      <c r="G2" s="2" t="s">
        <v>14</v>
      </c>
      <c r="H2" s="2" t="s">
        <v>10</v>
      </c>
      <c r="I2" s="2" t="s">
        <v>2</v>
      </c>
      <c r="J2" s="2" t="s">
        <v>3</v>
      </c>
    </row>
    <row r="3" spans="2:10" x14ac:dyDescent="0.2">
      <c r="B3" s="29" t="s">
        <v>8</v>
      </c>
      <c r="C3" s="29">
        <v>2021</v>
      </c>
      <c r="D3" s="4" t="s">
        <v>4</v>
      </c>
      <c r="E3" s="7">
        <v>87.870500000000007</v>
      </c>
      <c r="F3" s="7">
        <v>0</v>
      </c>
      <c r="G3" s="7">
        <v>7.8077389999999997E-2</v>
      </c>
      <c r="H3" s="7">
        <v>0</v>
      </c>
      <c r="I3" s="7">
        <v>-40.857329999999997</v>
      </c>
      <c r="J3" s="7">
        <v>0.30244759999999998</v>
      </c>
    </row>
    <row r="4" spans="2:10" x14ac:dyDescent="0.2">
      <c r="B4" s="30"/>
      <c r="C4" s="30"/>
      <c r="D4" s="3" t="s">
        <v>5</v>
      </c>
      <c r="E4" s="7">
        <v>55.897260000000003</v>
      </c>
      <c r="F4" s="7">
        <v>0.18471299999999999</v>
      </c>
      <c r="G4" s="7">
        <v>0.24745553000000001</v>
      </c>
      <c r="H4" s="7">
        <v>18.471299999999999</v>
      </c>
      <c r="I4" s="7">
        <v>-23.817910000000001</v>
      </c>
      <c r="J4" s="7">
        <v>0.27160089999999998</v>
      </c>
    </row>
    <row r="5" spans="2:10" x14ac:dyDescent="0.2">
      <c r="B5" s="30"/>
      <c r="C5" s="30"/>
      <c r="D5" s="3" t="s">
        <v>6</v>
      </c>
      <c r="E5" s="7">
        <v>46.465229999999998</v>
      </c>
      <c r="F5" s="7">
        <v>0.25792860000000001</v>
      </c>
      <c r="G5" s="7">
        <v>0.30050969999999999</v>
      </c>
      <c r="H5" s="7">
        <v>25.792860000000001</v>
      </c>
      <c r="I5" s="7">
        <v>-16.954470000000001</v>
      </c>
      <c r="J5" s="7">
        <v>0.26143050000000001</v>
      </c>
    </row>
    <row r="6" spans="2:10" x14ac:dyDescent="0.2">
      <c r="B6" s="30"/>
      <c r="C6" s="30"/>
      <c r="D6" s="5" t="s">
        <v>7</v>
      </c>
      <c r="E6" s="9">
        <v>41.863129999999998</v>
      </c>
      <c r="F6" s="9">
        <v>0.28554200000000002</v>
      </c>
      <c r="G6" s="9">
        <v>0.32913552000000001</v>
      </c>
      <c r="H6" s="9">
        <v>28.554200000000002</v>
      </c>
      <c r="I6" s="9">
        <v>-13.55823</v>
      </c>
      <c r="J6" s="9">
        <v>0.25559749999999998</v>
      </c>
    </row>
    <row r="7" spans="2:10" x14ac:dyDescent="0.2">
      <c r="B7" s="30"/>
      <c r="C7" s="30"/>
      <c r="D7" s="3" t="s">
        <v>17</v>
      </c>
      <c r="E7" s="7">
        <v>70.164940000000001</v>
      </c>
      <c r="F7" s="7">
        <v>0.16925409999999999</v>
      </c>
      <c r="G7" s="7">
        <v>0.17596313</v>
      </c>
      <c r="H7" s="7">
        <v>16.925409999999999</v>
      </c>
      <c r="I7" s="7">
        <v>-28.80433</v>
      </c>
      <c r="J7" s="7">
        <v>0.28832140000000001</v>
      </c>
    </row>
    <row r="8" spans="2:10" x14ac:dyDescent="0.2">
      <c r="B8" s="30"/>
      <c r="C8" s="30">
        <v>2022</v>
      </c>
      <c r="D8" s="3" t="s">
        <v>4</v>
      </c>
      <c r="E8" s="7">
        <v>95.865629999999996</v>
      </c>
      <c r="F8" s="7">
        <v>0</v>
      </c>
      <c r="G8" s="7">
        <v>2.965395E-3</v>
      </c>
      <c r="H8" s="7">
        <v>0</v>
      </c>
      <c r="I8" s="7">
        <v>-44.8533458</v>
      </c>
      <c r="J8" s="7">
        <v>0.32226670000000002</v>
      </c>
    </row>
    <row r="9" spans="2:10" x14ac:dyDescent="0.2">
      <c r="B9" s="30"/>
      <c r="C9" s="30"/>
      <c r="D9" s="3" t="s">
        <v>5</v>
      </c>
      <c r="E9" s="7">
        <v>31.992290000000001</v>
      </c>
      <c r="F9" s="7">
        <v>0.34417340000000002</v>
      </c>
      <c r="G9" s="7">
        <v>0.36569174300000001</v>
      </c>
      <c r="H9" s="7">
        <v>34.417340000000003</v>
      </c>
      <c r="I9" s="7">
        <v>-11.862811900000001</v>
      </c>
      <c r="J9" s="7">
        <v>0.2557275</v>
      </c>
    </row>
    <row r="10" spans="2:10" x14ac:dyDescent="0.2">
      <c r="B10" s="30"/>
      <c r="C10" s="30"/>
      <c r="D10" s="3" t="s">
        <v>6</v>
      </c>
      <c r="E10" s="7">
        <v>23.293089999999999</v>
      </c>
      <c r="F10" s="7">
        <v>0.39800679999999999</v>
      </c>
      <c r="G10" s="7">
        <v>0.440903343</v>
      </c>
      <c r="H10" s="7">
        <v>39.80068</v>
      </c>
      <c r="I10" s="7">
        <v>-5.3627605000000003</v>
      </c>
      <c r="J10" s="7">
        <v>0.2420976</v>
      </c>
    </row>
    <row r="11" spans="2:10" x14ac:dyDescent="0.2">
      <c r="B11" s="30"/>
      <c r="C11" s="30"/>
      <c r="D11" s="5" t="s">
        <v>7</v>
      </c>
      <c r="E11" s="9">
        <v>16.648</v>
      </c>
      <c r="F11" s="9">
        <v>0.4260468</v>
      </c>
      <c r="G11" s="9">
        <v>0.47957517999999999</v>
      </c>
      <c r="H11" s="9">
        <v>42.604680000000002</v>
      </c>
      <c r="I11" s="9">
        <v>-0.94304960000000004</v>
      </c>
      <c r="J11" s="9">
        <v>0.2340787</v>
      </c>
    </row>
    <row r="12" spans="2:10" x14ac:dyDescent="0.2">
      <c r="B12" s="30"/>
      <c r="C12" s="30"/>
      <c r="D12" s="3" t="s">
        <v>16</v>
      </c>
      <c r="E12" s="7">
        <v>73.536619999999999</v>
      </c>
      <c r="F12" s="7">
        <v>0.170238</v>
      </c>
      <c r="G12" s="7">
        <v>0.17023797600000001</v>
      </c>
      <c r="H12" s="7">
        <v>17.023800000000001</v>
      </c>
      <c r="I12" s="7">
        <v>-30.4845273</v>
      </c>
      <c r="J12" s="7">
        <v>0.2945625</v>
      </c>
    </row>
    <row r="13" spans="2:10" x14ac:dyDescent="0.2">
      <c r="B13" s="30" t="s">
        <v>9</v>
      </c>
      <c r="C13" s="30">
        <v>2021</v>
      </c>
      <c r="D13" s="3" t="s">
        <v>4</v>
      </c>
      <c r="E13" s="7">
        <v>193.1455</v>
      </c>
      <c r="F13" s="7">
        <v>0</v>
      </c>
      <c r="G13" s="7">
        <v>0.49107630000000002</v>
      </c>
      <c r="H13" s="7">
        <v>0</v>
      </c>
      <c r="I13" s="7">
        <v>-93.494810000000001</v>
      </c>
      <c r="J13" s="7">
        <v>0.4033677</v>
      </c>
    </row>
    <row r="14" spans="2:10" x14ac:dyDescent="0.2">
      <c r="B14" s="30"/>
      <c r="C14" s="30"/>
      <c r="D14" s="3" t="s">
        <v>5</v>
      </c>
      <c r="E14" s="7">
        <v>170.8843</v>
      </c>
      <c r="F14" s="7">
        <v>7.7529070000000005E-2</v>
      </c>
      <c r="G14" s="7">
        <v>0.54668470000000002</v>
      </c>
      <c r="H14" s="7">
        <v>7.7529070000000004</v>
      </c>
      <c r="I14" s="7">
        <v>-81.311430000000001</v>
      </c>
      <c r="J14" s="7">
        <v>0.37293670000000001</v>
      </c>
    </row>
    <row r="15" spans="2:10" x14ac:dyDescent="0.2">
      <c r="B15" s="30"/>
      <c r="C15" s="30"/>
      <c r="D15" s="3" t="s">
        <v>6</v>
      </c>
      <c r="E15" s="7">
        <v>168.4905</v>
      </c>
      <c r="F15" s="7">
        <v>9.9539429999999998E-2</v>
      </c>
      <c r="G15" s="7">
        <v>0.57132810000000001</v>
      </c>
      <c r="H15" s="7">
        <v>9.9539430000000007</v>
      </c>
      <c r="I15" s="7">
        <v>-77.967129999999997</v>
      </c>
      <c r="J15" s="7">
        <v>0.36469980000000002</v>
      </c>
    </row>
    <row r="16" spans="2:10" x14ac:dyDescent="0.2">
      <c r="B16" s="30"/>
      <c r="C16" s="30"/>
      <c r="D16" s="5" t="s">
        <v>7</v>
      </c>
      <c r="E16" s="9">
        <v>165.40180000000001</v>
      </c>
      <c r="F16" s="9">
        <v>0.11457183</v>
      </c>
      <c r="G16" s="9">
        <v>0.5750478</v>
      </c>
      <c r="H16" s="9">
        <v>11.457183000000001</v>
      </c>
      <c r="I16" s="9">
        <v>-75.327560000000005</v>
      </c>
      <c r="J16" s="9">
        <v>0.35876360000000002</v>
      </c>
    </row>
    <row r="17" spans="2:10" x14ac:dyDescent="0.2">
      <c r="B17" s="30"/>
      <c r="C17" s="30"/>
      <c r="D17" s="3" t="s">
        <v>15</v>
      </c>
      <c r="E17" s="7">
        <v>180.07589999999999</v>
      </c>
      <c r="F17" s="7">
        <v>6.1688710000000001E-2</v>
      </c>
      <c r="G17" s="7">
        <v>0.53809189999999996</v>
      </c>
      <c r="H17" s="7">
        <v>6.1688710000000002</v>
      </c>
      <c r="I17" s="7">
        <v>-83.759780000000006</v>
      </c>
      <c r="J17" s="7">
        <v>0.37878539999999999</v>
      </c>
    </row>
    <row r="18" spans="2:10" x14ac:dyDescent="0.2">
      <c r="B18" s="30"/>
      <c r="C18" s="30">
        <v>2022</v>
      </c>
      <c r="D18" s="3" t="s">
        <v>4</v>
      </c>
      <c r="E18" s="7">
        <v>201.11699999999999</v>
      </c>
      <c r="F18" s="7">
        <v>0</v>
      </c>
      <c r="G18" s="7">
        <v>9.0539170000000002E-2</v>
      </c>
      <c r="H18" s="7">
        <v>0</v>
      </c>
      <c r="I18" s="7">
        <v>-97.479039999999998</v>
      </c>
      <c r="J18" s="7">
        <v>0.43661689999999997</v>
      </c>
    </row>
    <row r="19" spans="2:10" x14ac:dyDescent="0.2">
      <c r="B19" s="30"/>
      <c r="C19" s="30"/>
      <c r="D19" s="3" t="s">
        <v>5</v>
      </c>
      <c r="E19" s="7">
        <v>115.8276</v>
      </c>
      <c r="F19" s="7">
        <v>0.38441320000000001</v>
      </c>
      <c r="G19" s="7">
        <v>0.50596971000000002</v>
      </c>
      <c r="H19" s="7">
        <v>38.441319999999997</v>
      </c>
      <c r="I19" s="7">
        <v>-53.78049</v>
      </c>
      <c r="J19" s="7">
        <v>0.32385330000000001</v>
      </c>
    </row>
    <row r="20" spans="2:10" x14ac:dyDescent="0.2">
      <c r="B20" s="30"/>
      <c r="C20" s="30"/>
      <c r="D20" s="3" t="s">
        <v>6</v>
      </c>
      <c r="E20" s="7">
        <v>116.8347</v>
      </c>
      <c r="F20" s="7">
        <v>0.3884263</v>
      </c>
      <c r="G20" s="7">
        <v>0.54258684999999995</v>
      </c>
      <c r="H20" s="7">
        <v>38.84263</v>
      </c>
      <c r="I20" s="7">
        <v>-52.133580000000002</v>
      </c>
      <c r="J20" s="7">
        <v>0.31850620000000002</v>
      </c>
    </row>
    <row r="21" spans="2:10" x14ac:dyDescent="0.2">
      <c r="B21" s="30"/>
      <c r="C21" s="30"/>
      <c r="D21" s="5" t="s">
        <v>7</v>
      </c>
      <c r="E21" s="9">
        <v>105.2647</v>
      </c>
      <c r="F21" s="9">
        <v>0.42336970000000002</v>
      </c>
      <c r="G21" s="9">
        <v>0.58461348999999996</v>
      </c>
      <c r="H21" s="9">
        <v>42.336970000000001</v>
      </c>
      <c r="I21" s="9">
        <v>-45.25141</v>
      </c>
      <c r="J21" s="9">
        <v>0.30384709999999998</v>
      </c>
    </row>
    <row r="22" spans="2:10" x14ac:dyDescent="0.2">
      <c r="B22" s="31"/>
      <c r="C22" s="31"/>
      <c r="D22" s="6" t="s">
        <v>16</v>
      </c>
      <c r="E22" s="8">
        <v>171.56989999999999</v>
      </c>
      <c r="F22" s="8">
        <v>0.24605940000000001</v>
      </c>
      <c r="G22" s="8">
        <v>0.24605937</v>
      </c>
      <c r="H22" s="8">
        <v>24.60594</v>
      </c>
      <c r="I22" s="8">
        <v>-79.501189999999994</v>
      </c>
      <c r="J22" s="8">
        <v>0.4041264</v>
      </c>
    </row>
  </sheetData>
  <mergeCells count="6">
    <mergeCell ref="C3:C7"/>
    <mergeCell ref="C8:C12"/>
    <mergeCell ref="C13:C17"/>
    <mergeCell ref="C18:C22"/>
    <mergeCell ref="B13:B22"/>
    <mergeCell ref="B3:B12"/>
  </mergeCells>
  <pageMargins left="0.7" right="0.7" top="0.75" bottom="0.75" header="0.3" footer="0.3"/>
  <headerFooter>
    <oddHeader>&amp;R&amp;"Calibri"&amp;10&amp;K000000 Unclassified /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2380-EF0A-4298-B243-FA1794FD5FCC}">
  <dimension ref="B2:G15"/>
  <sheetViews>
    <sheetView tabSelected="1" zoomScale="120" zoomScaleNormal="120" zoomScaleSheetLayoutView="80" workbookViewId="0">
      <selection activeCell="B2" sqref="B2:G15"/>
    </sheetView>
  </sheetViews>
  <sheetFormatPr baseColWidth="10" defaultRowHeight="15" x14ac:dyDescent="0.25"/>
  <cols>
    <col min="1" max="1" width="11.42578125" style="1"/>
    <col min="2" max="2" width="19.140625" style="1" bestFit="1" customWidth="1"/>
    <col min="3" max="3" width="11.42578125" style="1"/>
    <col min="4" max="4" width="14.85546875" style="1" bestFit="1" customWidth="1"/>
    <col min="5" max="16384" width="11.42578125" style="1"/>
  </cols>
  <sheetData>
    <row r="2" spans="2:7" x14ac:dyDescent="0.25">
      <c r="B2" s="32" t="s">
        <v>18</v>
      </c>
      <c r="C2" s="32" t="s">
        <v>19</v>
      </c>
      <c r="D2" s="32" t="s">
        <v>20</v>
      </c>
      <c r="E2" s="32" t="s">
        <v>21</v>
      </c>
      <c r="F2" s="32" t="s">
        <v>22</v>
      </c>
      <c r="G2" s="32" t="s">
        <v>23</v>
      </c>
    </row>
    <row r="3" spans="2:7" x14ac:dyDescent="0.25">
      <c r="B3" s="33" t="s">
        <v>24</v>
      </c>
      <c r="C3" s="34">
        <v>3</v>
      </c>
      <c r="D3" s="41">
        <v>30.93</v>
      </c>
      <c r="E3" s="41">
        <v>0.23449</v>
      </c>
      <c r="F3" s="41">
        <v>42.291800000000002</v>
      </c>
      <c r="G3" s="38" t="s">
        <v>62</v>
      </c>
    </row>
    <row r="4" spans="2:7" x14ac:dyDescent="0.25">
      <c r="B4" s="39" t="s">
        <v>25</v>
      </c>
      <c r="C4" s="40">
        <v>1</v>
      </c>
      <c r="D4" s="41">
        <v>2.8610000000000002</v>
      </c>
      <c r="E4" s="41">
        <v>2.1690000000000001E-2</v>
      </c>
      <c r="F4" s="41">
        <v>11.7369</v>
      </c>
      <c r="G4" s="38" t="s">
        <v>62</v>
      </c>
    </row>
    <row r="5" spans="2:7" x14ac:dyDescent="0.25">
      <c r="B5" s="39" t="s">
        <v>26</v>
      </c>
      <c r="C5" s="40">
        <v>11</v>
      </c>
      <c r="D5" s="41">
        <v>16.414000000000001</v>
      </c>
      <c r="E5" s="41">
        <v>0.12444</v>
      </c>
      <c r="F5" s="41">
        <v>6.1211000000000002</v>
      </c>
      <c r="G5" s="38" t="s">
        <v>62</v>
      </c>
    </row>
    <row r="6" spans="2:7" x14ac:dyDescent="0.25">
      <c r="B6" s="39" t="s">
        <v>27</v>
      </c>
      <c r="C6" s="40">
        <v>1</v>
      </c>
      <c r="D6" s="41">
        <v>0.64100000000000001</v>
      </c>
      <c r="E6" s="41">
        <v>4.8599999999999997E-3</v>
      </c>
      <c r="F6" s="41">
        <v>2.6292</v>
      </c>
      <c r="G6" s="38">
        <v>1.41E-2</v>
      </c>
    </row>
    <row r="7" spans="2:7" x14ac:dyDescent="0.25">
      <c r="B7" s="39" t="s">
        <v>28</v>
      </c>
      <c r="C7" s="40">
        <v>1</v>
      </c>
      <c r="D7" s="41">
        <v>0.38900000000000001</v>
      </c>
      <c r="E7" s="41">
        <v>2.9499999999999999E-3</v>
      </c>
      <c r="F7" s="41">
        <v>1.5976999999999999</v>
      </c>
      <c r="G7" s="38">
        <v>0.1002</v>
      </c>
    </row>
    <row r="8" spans="2:7" x14ac:dyDescent="0.25">
      <c r="B8" s="39" t="s">
        <v>29</v>
      </c>
      <c r="C8" s="40">
        <v>1</v>
      </c>
      <c r="D8" s="41">
        <v>0.82599999999999996</v>
      </c>
      <c r="E8" s="41">
        <v>6.2599999999999999E-3</v>
      </c>
      <c r="F8" s="41">
        <v>3.3891</v>
      </c>
      <c r="G8" s="38">
        <v>4.3E-3</v>
      </c>
    </row>
    <row r="9" spans="2:7" x14ac:dyDescent="0.25">
      <c r="B9" s="39" t="s">
        <v>30</v>
      </c>
      <c r="C9" s="40">
        <v>1</v>
      </c>
      <c r="D9" s="41">
        <v>0.64800000000000002</v>
      </c>
      <c r="E9" s="41">
        <v>4.9199999999999999E-3</v>
      </c>
      <c r="F9" s="41">
        <v>2.6594000000000002</v>
      </c>
      <c r="G9" s="38">
        <v>1.4999999999999999E-2</v>
      </c>
    </row>
    <row r="10" spans="2:7" x14ac:dyDescent="0.25">
      <c r="B10" s="39" t="s">
        <v>31</v>
      </c>
      <c r="C10" s="40">
        <v>1</v>
      </c>
      <c r="D10" s="41">
        <v>0.70799999999999996</v>
      </c>
      <c r="E10" s="41">
        <v>5.3699999999999998E-3</v>
      </c>
      <c r="F10" s="41">
        <v>2.9056999999999999</v>
      </c>
      <c r="G10" s="38">
        <v>1.01E-2</v>
      </c>
    </row>
    <row r="11" spans="2:7" x14ac:dyDescent="0.25">
      <c r="B11" s="39" t="s">
        <v>32</v>
      </c>
      <c r="C11" s="40">
        <v>1</v>
      </c>
      <c r="D11" s="41">
        <v>1.0249999999999999</v>
      </c>
      <c r="E11" s="41">
        <v>7.77E-3</v>
      </c>
      <c r="F11" s="41">
        <v>4.2061000000000002</v>
      </c>
      <c r="G11" s="38">
        <v>1.6000000000000001E-3</v>
      </c>
    </row>
    <row r="12" spans="2:7" x14ac:dyDescent="0.25">
      <c r="B12" s="39" t="s">
        <v>33</v>
      </c>
      <c r="C12" s="40">
        <v>3</v>
      </c>
      <c r="D12" s="41">
        <v>3.2679999999999998</v>
      </c>
      <c r="E12" s="41">
        <v>2.478E-2</v>
      </c>
      <c r="F12" s="41">
        <v>4.4684999999999997</v>
      </c>
      <c r="G12" s="38" t="s">
        <v>62</v>
      </c>
    </row>
    <row r="13" spans="2:7" x14ac:dyDescent="0.25">
      <c r="B13" s="39" t="s">
        <v>34</v>
      </c>
      <c r="C13" s="40">
        <v>31</v>
      </c>
      <c r="D13" s="41">
        <v>11.183</v>
      </c>
      <c r="E13" s="41">
        <v>8.4779999999999994E-2</v>
      </c>
      <c r="F13" s="41">
        <v>1.4798</v>
      </c>
      <c r="G13" s="38" t="s">
        <v>62</v>
      </c>
    </row>
    <row r="14" spans="2:7" x14ac:dyDescent="0.25">
      <c r="B14" s="39" t="s">
        <v>35</v>
      </c>
      <c r="C14" s="40">
        <v>11</v>
      </c>
      <c r="D14" s="41">
        <v>3.0379999999999998</v>
      </c>
      <c r="E14" s="41">
        <v>2.3029999999999998E-2</v>
      </c>
      <c r="F14" s="41">
        <v>1.133</v>
      </c>
      <c r="G14" s="38">
        <v>0.19239999999999999</v>
      </c>
    </row>
    <row r="15" spans="2:7" x14ac:dyDescent="0.25">
      <c r="B15" s="35" t="s">
        <v>36</v>
      </c>
      <c r="C15" s="36">
        <v>246</v>
      </c>
      <c r="D15" s="42">
        <v>59.97</v>
      </c>
      <c r="E15" s="42">
        <v>0.45465</v>
      </c>
      <c r="F15" s="42"/>
      <c r="G15" s="3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tab_1_sum_mock</vt:lpstr>
      <vt:lpstr>Tab2_lmm</vt:lpstr>
      <vt:lpstr>Tab3_Permanova</vt:lpstr>
    </vt:vector>
  </TitlesOfParts>
  <Company>AAFC-AAC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Heyden, Hervé (AAFC/AAC)</dc:creator>
  <cp:lastModifiedBy>Van Der Heyden, Hervé (AAFC/AAC)</cp:lastModifiedBy>
  <dcterms:created xsi:type="dcterms:W3CDTF">2025-09-15T19:12:42Z</dcterms:created>
  <dcterms:modified xsi:type="dcterms:W3CDTF">2026-10-24T01:47:23Z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2025-09-15T20:52:34Z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6346eb5f-8fff-468d-8e69-2a5558b280d9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